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lvarogaticap/Library/CloudStorage/GoogleDrive-alvaro.gatica1@mail.udp.cl/Mi unidad/02. Finance Club/Etapa 1/"/>
    </mc:Choice>
  </mc:AlternateContent>
  <xr:revisionPtr revIDLastSave="0" documentId="13_ncr:1_{E2A1BE79-D719-8D46-A600-6B19FBE00C82}" xr6:coauthVersionLast="47" xr6:coauthVersionMax="47" xr10:uidLastSave="{00000000-0000-0000-0000-000000000000}"/>
  <bookViews>
    <workbookView xWindow="0" yWindow="0" windowWidth="28800" windowHeight="18000" xr2:uid="{DE9C9348-AF61-C440-80FA-84A0C863FBB0}"/>
  </bookViews>
  <sheets>
    <sheet name="data" sheetId="1" r:id="rId1"/>
    <sheet name="tabla posicionamiento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7" i="1" l="1"/>
  <c r="M19" i="1"/>
  <c r="M25" i="1"/>
  <c r="M31" i="1"/>
  <c r="K31" i="1"/>
  <c r="K25" i="1"/>
  <c r="K19" i="1"/>
  <c r="K17" i="1"/>
  <c r="M4" i="1"/>
  <c r="M6" i="1"/>
  <c r="M10" i="1"/>
  <c r="K10" i="1"/>
  <c r="K6" i="1"/>
  <c r="L10" i="1"/>
  <c r="L6" i="1"/>
  <c r="L31" i="1"/>
  <c r="L25" i="1"/>
  <c r="L19" i="1"/>
  <c r="L17" i="1"/>
  <c r="L4" i="1"/>
  <c r="K4" i="1"/>
  <c r="J25" i="1"/>
  <c r="J19" i="1"/>
  <c r="J10" i="1"/>
  <c r="J6" i="1"/>
  <c r="J4" i="1"/>
  <c r="J12" i="1" l="1"/>
  <c r="L33" i="1"/>
  <c r="K12" i="1"/>
  <c r="K33" i="1"/>
  <c r="M33" i="1"/>
  <c r="J31" i="1"/>
  <c r="J17" i="1"/>
  <c r="J33" i="1" l="1"/>
</calcChain>
</file>

<file path=xl/sharedStrings.xml><?xml version="1.0" encoding="utf-8"?>
<sst xmlns="http://schemas.openxmlformats.org/spreadsheetml/2006/main" count="72" uniqueCount="63">
  <si>
    <t>Portafolio</t>
  </si>
  <si>
    <t>USD</t>
  </si>
  <si>
    <t>CLP</t>
  </si>
  <si>
    <t>%</t>
  </si>
  <si>
    <t>Local</t>
  </si>
  <si>
    <t>Internacional</t>
  </si>
  <si>
    <t>Tipo de cambio</t>
  </si>
  <si>
    <t>Monto (USD)</t>
  </si>
  <si>
    <t>Portafolio Local</t>
  </si>
  <si>
    <t>Caja</t>
  </si>
  <si>
    <t>Renta Fija Local</t>
  </si>
  <si>
    <t>Depósito a plazo</t>
  </si>
  <si>
    <t>Deuda Corp. Bajo Riesgo</t>
  </si>
  <si>
    <t>Deuda Corp. Alto Riesgo</t>
  </si>
  <si>
    <t>Renta Variable Local</t>
  </si>
  <si>
    <t>Total local</t>
  </si>
  <si>
    <t>Portafolio Internacional</t>
  </si>
  <si>
    <t>Caja Local</t>
  </si>
  <si>
    <t>Caja Internacional</t>
  </si>
  <si>
    <t>Cash</t>
  </si>
  <si>
    <t>M° Des. Short Duration</t>
  </si>
  <si>
    <r>
      <t xml:space="preserve">M° Des. Mid-Long Dur. </t>
    </r>
    <r>
      <rPr>
        <b/>
        <sz val="12"/>
        <color theme="3" tint="-0.89999084444715716"/>
        <rFont val="Calibri"/>
        <family val="2"/>
        <scheme val="minor"/>
      </rPr>
      <t>Investment Grade</t>
    </r>
  </si>
  <si>
    <r>
      <t xml:space="preserve">M° Des. Mid-Long Dur. </t>
    </r>
    <r>
      <rPr>
        <b/>
        <sz val="12"/>
        <color theme="3" tint="-0.89999084444715716"/>
        <rFont val="Calibri"/>
        <family val="2"/>
        <scheme val="minor"/>
      </rPr>
      <t>Treasury</t>
    </r>
  </si>
  <si>
    <r>
      <t xml:space="preserve">M° Des. Mid-Long Dur. </t>
    </r>
    <r>
      <rPr>
        <b/>
        <sz val="12"/>
        <color theme="3" tint="-0.89999084444715716"/>
        <rFont val="Calibri"/>
        <family val="2"/>
        <scheme val="minor"/>
      </rPr>
      <t>High Yield</t>
    </r>
  </si>
  <si>
    <t>M° Emergentes</t>
  </si>
  <si>
    <t>Renta Fija Internacional</t>
  </si>
  <si>
    <t>Renta Variable Internacional</t>
  </si>
  <si>
    <t>Norteamérica</t>
  </si>
  <si>
    <t>Europa Desarrollada</t>
  </si>
  <si>
    <t>Japón</t>
  </si>
  <si>
    <t>Global Emergente</t>
  </si>
  <si>
    <t>Global</t>
  </si>
  <si>
    <t>Commodities</t>
  </si>
  <si>
    <t>Oro</t>
  </si>
  <si>
    <t>% Portafolio Total</t>
  </si>
  <si>
    <t>Total Internacional</t>
  </si>
  <si>
    <t>TAA</t>
  </si>
  <si>
    <t>SAA | BMK (%)</t>
  </si>
  <si>
    <t>Monto CLP</t>
  </si>
  <si>
    <t>SAA BMK (%)</t>
  </si>
  <si>
    <t>Monto USD</t>
  </si>
  <si>
    <t>UW -3</t>
  </si>
  <si>
    <t>UW -2</t>
  </si>
  <si>
    <t>UW -1</t>
  </si>
  <si>
    <t>Neutral</t>
  </si>
  <si>
    <t>OW +1</t>
  </si>
  <si>
    <t>OW +2</t>
  </si>
  <si>
    <t>OW +3</t>
  </si>
  <si>
    <t>Tabla de posicionamiento</t>
  </si>
  <si>
    <t>Renta Variable</t>
  </si>
  <si>
    <t>E.E.U.U.</t>
  </si>
  <si>
    <t>Europa</t>
  </si>
  <si>
    <t>Otros M° Des.</t>
  </si>
  <si>
    <t>Chile</t>
  </si>
  <si>
    <t>Emerging Markets</t>
  </si>
  <si>
    <t>Renta Fija &amp; Oro</t>
  </si>
  <si>
    <t>E.E.U.U. Treasury Bonds</t>
  </si>
  <si>
    <t>Crédito Corporativo I.G.</t>
  </si>
  <si>
    <t>Crédito Corporativo H.Y.</t>
  </si>
  <si>
    <t>Deuda Emergente</t>
  </si>
  <si>
    <t>Categoría</t>
  </si>
  <si>
    <t>Total</t>
  </si>
  <si>
    <t>Benchmark | Índice ( Vehículo invertible)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</si>
</sst>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41" formatCode="_ * #,##0_ ;_ * \-#,##0_ ;_ * &quot;-&quot;_ ;_ @_ 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 tint="0.79998168889431442"/>
      <name val="Calibri"/>
      <family val="2"/>
      <scheme val="minor"/>
    </font>
    <font>
      <sz val="12"/>
      <color theme="3" tint="-0.89999084444715716"/>
      <name val="Calibri"/>
      <family val="2"/>
      <scheme val="minor"/>
    </font>
    <font>
      <b/>
      <sz val="12"/>
      <color theme="3" tint="-0.89999084444715716"/>
      <name val="Calibri"/>
      <family val="2"/>
      <scheme val="minor"/>
    </font>
    <font>
      <b/>
      <sz val="12"/>
      <color theme="0" tint="0.79998168889431442"/>
      <name val="Calibri"/>
      <family val="2"/>
      <scheme val="minor"/>
    </font>
    <font>
      <b/>
      <sz val="12"/>
      <color rgb="FFFFFEFA"/>
      <name val="Calibri"/>
      <family val="2"/>
      <scheme val="minor"/>
    </font>
    <font>
      <sz val="12"/>
      <color theme="7" tint="-0.89999084444715716"/>
      <name val="Calibri"/>
      <family val="2"/>
      <scheme val="minor"/>
    </font>
    <font>
      <b/>
      <sz val="12"/>
      <color theme="7" tint="-0.89999084444715716"/>
      <name val="Calibri"/>
      <family val="2"/>
      <scheme val="minor"/>
    </font>
    <font>
      <b/>
      <sz val="11"/>
      <color theme="7" tint="-0.89999084444715716"/>
      <name val="Calibri"/>
      <family val="2"/>
      <scheme val="minor"/>
    </font>
    <font>
      <sz val="12"/>
      <color theme="8" tint="0.39997558519241921"/>
      <name val="Calibri"/>
      <family val="2"/>
      <scheme val="minor"/>
    </font>
    <font>
      <b/>
      <sz val="12"/>
      <color theme="8" tint="0.39997558519241921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EFA"/>
      </left>
      <right/>
      <top style="thin">
        <color rgb="FFFFFEFA"/>
      </top>
      <bottom/>
      <diagonal/>
    </border>
    <border>
      <left style="thin">
        <color rgb="FFFFFEFA"/>
      </left>
      <right/>
      <top/>
      <bottom/>
      <diagonal/>
    </border>
    <border>
      <left style="thin">
        <color rgb="FFFFFEFA"/>
      </left>
      <right/>
      <top/>
      <bottom style="thin">
        <color rgb="FFFFFEFA"/>
      </bottom>
      <diagonal/>
    </border>
    <border>
      <left/>
      <right/>
      <top/>
      <bottom style="thin">
        <color rgb="FFFFFEFA"/>
      </bottom>
      <diagonal/>
    </border>
    <border>
      <left style="thin">
        <color rgb="FFFFFEFA"/>
      </left>
      <right/>
      <top/>
      <bottom style="thin">
        <color theme="3"/>
      </bottom>
      <diagonal/>
    </border>
    <border>
      <left style="medium">
        <color rgb="FFFFFEFA"/>
      </left>
      <right/>
      <top style="medium">
        <color rgb="FFFFFEFA"/>
      </top>
      <bottom/>
      <diagonal/>
    </border>
    <border>
      <left/>
      <right style="medium">
        <color rgb="FFFFFEFA"/>
      </right>
      <top style="medium">
        <color rgb="FFFFFEFA"/>
      </top>
      <bottom/>
      <diagonal/>
    </border>
    <border>
      <left style="medium">
        <color rgb="FFFFFEFA"/>
      </left>
      <right/>
      <top/>
      <bottom/>
      <diagonal/>
    </border>
    <border>
      <left/>
      <right style="medium">
        <color rgb="FFFFFEFA"/>
      </right>
      <top/>
      <bottom/>
      <diagonal/>
    </border>
    <border>
      <left style="medium">
        <color rgb="FFFFFEFA"/>
      </left>
      <right/>
      <top/>
      <bottom style="medium">
        <color rgb="FFFFFEFA"/>
      </bottom>
      <diagonal/>
    </border>
    <border>
      <left/>
      <right style="medium">
        <color rgb="FFFFFEFA"/>
      </right>
      <top/>
      <bottom style="medium">
        <color rgb="FFFFFEFA"/>
      </bottom>
      <diagonal/>
    </border>
    <border>
      <left/>
      <right/>
      <top style="medium">
        <color rgb="FFFFFEFA"/>
      </top>
      <bottom/>
      <diagonal/>
    </border>
    <border>
      <left/>
      <right/>
      <top/>
      <bottom style="medium">
        <color rgb="FFFFFEFA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/>
      <bottom/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 style="medium">
        <color theme="4"/>
      </right>
      <top/>
      <bottom/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42" fontId="3" fillId="0" borderId="1" xfId="2" applyFont="1" applyBorder="1"/>
    <xf numFmtId="0" fontId="3" fillId="0" borderId="0" xfId="0" applyFont="1"/>
    <xf numFmtId="0" fontId="5" fillId="2" borderId="0" xfId="0" applyFont="1" applyFill="1" applyBorder="1" applyAlignment="1">
      <alignment horizontal="center"/>
    </xf>
    <xf numFmtId="0" fontId="3" fillId="5" borderId="0" xfId="0" applyFont="1" applyFill="1" applyBorder="1"/>
    <xf numFmtId="0" fontId="3" fillId="0" borderId="0" xfId="0" applyFont="1" applyBorder="1"/>
    <xf numFmtId="0" fontId="5" fillId="2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vertical="center"/>
    </xf>
    <xf numFmtId="0" fontId="3" fillId="5" borderId="3" xfId="0" applyFont="1" applyFill="1" applyBorder="1"/>
    <xf numFmtId="0" fontId="3" fillId="6" borderId="4" xfId="0" applyFont="1" applyFill="1" applyBorder="1"/>
    <xf numFmtId="10" fontId="3" fillId="4" borderId="0" xfId="3" applyNumberFormat="1" applyFont="1" applyFill="1" applyBorder="1" applyAlignment="1">
      <alignment vertical="center"/>
    </xf>
    <xf numFmtId="10" fontId="3" fillId="5" borderId="0" xfId="0" applyNumberFormat="1" applyFont="1" applyFill="1" applyBorder="1"/>
    <xf numFmtId="0" fontId="5" fillId="2" borderId="2" xfId="0" applyFont="1" applyFill="1" applyBorder="1" applyAlignment="1">
      <alignment horizontal="left"/>
    </xf>
    <xf numFmtId="0" fontId="3" fillId="4" borderId="6" xfId="0" applyFont="1" applyFill="1" applyBorder="1" applyAlignment="1">
      <alignment vertical="center"/>
    </xf>
    <xf numFmtId="0" fontId="4" fillId="6" borderId="3" xfId="0" applyFont="1" applyFill="1" applyBorder="1" applyAlignment="1">
      <alignment vertical="center"/>
    </xf>
    <xf numFmtId="0" fontId="2" fillId="2" borderId="7" xfId="0" applyFont="1" applyFill="1" applyBorder="1"/>
    <xf numFmtId="0" fontId="2" fillId="2" borderId="8" xfId="0" applyFont="1" applyFill="1" applyBorder="1"/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3" fillId="4" borderId="9" xfId="0" applyFont="1" applyFill="1" applyBorder="1" applyAlignment="1">
      <alignment vertical="center"/>
    </xf>
    <xf numFmtId="0" fontId="3" fillId="5" borderId="9" xfId="0" applyFont="1" applyFill="1" applyBorder="1"/>
    <xf numFmtId="0" fontId="3" fillId="6" borderId="9" xfId="0" applyFont="1" applyFill="1" applyBorder="1" applyAlignment="1">
      <alignment vertical="center"/>
    </xf>
    <xf numFmtId="0" fontId="3" fillId="6" borderId="11" xfId="0" applyFont="1" applyFill="1" applyBorder="1"/>
    <xf numFmtId="0" fontId="2" fillId="2" borderId="13" xfId="0" applyFont="1" applyFill="1" applyBorder="1"/>
    <xf numFmtId="0" fontId="3" fillId="6" borderId="14" xfId="0" applyFont="1" applyFill="1" applyBorder="1"/>
    <xf numFmtId="0" fontId="3" fillId="0" borderId="5" xfId="0" applyFont="1" applyBorder="1"/>
    <xf numFmtId="0" fontId="5" fillId="2" borderId="7" xfId="0" applyFont="1" applyFill="1" applyBorder="1" applyAlignment="1">
      <alignment horizontal="left"/>
    </xf>
    <xf numFmtId="0" fontId="4" fillId="6" borderId="9" xfId="0" applyFont="1" applyFill="1" applyBorder="1" applyAlignment="1">
      <alignment vertical="center"/>
    </xf>
    <xf numFmtId="41" fontId="3" fillId="4" borderId="10" xfId="1" applyFont="1" applyFill="1" applyBorder="1" applyAlignment="1">
      <alignment vertical="center"/>
    </xf>
    <xf numFmtId="41" fontId="3" fillId="5" borderId="10" xfId="1" applyFont="1" applyFill="1" applyBorder="1"/>
    <xf numFmtId="41" fontId="3" fillId="6" borderId="10" xfId="1" applyFont="1" applyFill="1" applyBorder="1" applyAlignment="1">
      <alignment vertical="center"/>
    </xf>
    <xf numFmtId="41" fontId="3" fillId="6" borderId="12" xfId="1" applyFont="1" applyFill="1" applyBorder="1"/>
    <xf numFmtId="9" fontId="3" fillId="5" borderId="9" xfId="3" applyFont="1" applyFill="1" applyBorder="1"/>
    <xf numFmtId="10" fontId="3" fillId="6" borderId="0" xfId="0" applyNumberFormat="1" applyFont="1" applyFill="1" applyBorder="1" applyAlignment="1">
      <alignment vertical="center"/>
    </xf>
    <xf numFmtId="41" fontId="3" fillId="4" borderId="0" xfId="1" applyFont="1" applyFill="1" applyBorder="1" applyAlignment="1">
      <alignment vertical="center"/>
    </xf>
    <xf numFmtId="41" fontId="3" fillId="5" borderId="0" xfId="1" applyFont="1" applyFill="1" applyBorder="1"/>
    <xf numFmtId="41" fontId="3" fillId="6" borderId="0" xfId="1" applyFont="1" applyFill="1" applyBorder="1" applyAlignment="1">
      <alignment vertical="center"/>
    </xf>
    <xf numFmtId="41" fontId="3" fillId="6" borderId="14" xfId="1" applyFont="1" applyFill="1" applyBorder="1"/>
    <xf numFmtId="10" fontId="3" fillId="4" borderId="9" xfId="3" applyNumberFormat="1" applyFont="1" applyFill="1" applyBorder="1" applyAlignment="1">
      <alignment vertical="center"/>
    </xf>
    <xf numFmtId="10" fontId="3" fillId="6" borderId="0" xfId="3" applyNumberFormat="1" applyFont="1" applyFill="1" applyBorder="1" applyAlignment="1">
      <alignment vertical="center"/>
    </xf>
    <xf numFmtId="10" fontId="3" fillId="6" borderId="9" xfId="0" applyNumberFormat="1" applyFont="1" applyFill="1" applyBorder="1" applyAlignment="1">
      <alignment vertical="center"/>
    </xf>
    <xf numFmtId="0" fontId="7" fillId="0" borderId="0" xfId="0" applyFont="1"/>
    <xf numFmtId="0" fontId="10" fillId="0" borderId="0" xfId="0" applyFont="1"/>
    <xf numFmtId="0" fontId="7" fillId="0" borderId="0" xfId="0" applyFont="1" applyBorder="1"/>
    <xf numFmtId="0" fontId="7" fillId="0" borderId="16" xfId="0" applyFont="1" applyBorder="1"/>
    <xf numFmtId="0" fontId="7" fillId="0" borderId="17" xfId="0" applyFont="1" applyBorder="1"/>
    <xf numFmtId="0" fontId="7" fillId="0" borderId="18" xfId="0" applyFont="1" applyBorder="1"/>
    <xf numFmtId="0" fontId="7" fillId="0" borderId="20" xfId="0" applyFont="1" applyBorder="1"/>
    <xf numFmtId="0" fontId="7" fillId="0" borderId="21" xfId="0" applyFont="1" applyBorder="1"/>
    <xf numFmtId="0" fontId="7" fillId="0" borderId="22" xfId="0" applyFont="1" applyBorder="1"/>
    <xf numFmtId="0" fontId="7" fillId="0" borderId="23" xfId="0" applyFont="1" applyBorder="1"/>
    <xf numFmtId="0" fontId="11" fillId="0" borderId="15" xfId="0" applyFont="1" applyFill="1" applyBorder="1" applyAlignment="1">
      <alignment horizontal="left" vertical="center"/>
    </xf>
    <xf numFmtId="0" fontId="10" fillId="0" borderId="25" xfId="0" applyFont="1" applyBorder="1"/>
    <xf numFmtId="0" fontId="10" fillId="0" borderId="26" xfId="0" applyFont="1" applyBorder="1"/>
    <xf numFmtId="0" fontId="10" fillId="0" borderId="24" xfId="0" applyFont="1" applyBorder="1"/>
    <xf numFmtId="0" fontId="8" fillId="3" borderId="19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6" fillId="7" borderId="19" xfId="0" applyFont="1" applyFill="1" applyBorder="1" applyAlignment="1">
      <alignment horizontal="center"/>
    </xf>
    <xf numFmtId="0" fontId="6" fillId="7" borderId="20" xfId="0" applyFont="1" applyFill="1" applyBorder="1" applyAlignment="1">
      <alignment horizontal="center"/>
    </xf>
    <xf numFmtId="0" fontId="6" fillId="7" borderId="21" xfId="0" applyFont="1" applyFill="1" applyBorder="1" applyAlignment="1">
      <alignment horizontal="center"/>
    </xf>
    <xf numFmtId="0" fontId="4" fillId="5" borderId="0" xfId="0" applyFont="1" applyFill="1" applyBorder="1"/>
    <xf numFmtId="0" fontId="5" fillId="2" borderId="0" xfId="0" applyFont="1" applyFill="1" applyBorder="1"/>
    <xf numFmtId="0" fontId="5" fillId="2" borderId="0" xfId="0" applyFont="1" applyFill="1" applyBorder="1" applyAlignment="1">
      <alignment horizontal="right"/>
    </xf>
    <xf numFmtId="0" fontId="4" fillId="0" borderId="0" xfId="0" applyFont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12" fillId="5" borderId="9" xfId="0" applyFont="1" applyFill="1" applyBorder="1"/>
  </cellXfs>
  <cellStyles count="4">
    <cellStyle name="Millares [0]" xfId="1" builtinId="6"/>
    <cellStyle name="Moneda [0]" xfId="2" builtinId="7"/>
    <cellStyle name="Normal" xfId="0" builtinId="0"/>
    <cellStyle name="Porcentaje" xfId="3" builtinId="5"/>
  </cellStyles>
  <dxfs count="0"/>
  <tableStyles count="0" defaultTableStyle="TableStyleMedium2" defaultPivotStyle="PivotStyleLight16"/>
  <colors>
    <mruColors>
      <color rgb="FFFFFEFA"/>
      <color rgb="FF993D4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Excel Vicctus v2">
  <a:themeElements>
    <a:clrScheme name="Personalizado 9">
      <a:dk1>
        <a:srgbClr val="E56A54"/>
      </a:dk1>
      <a:lt1>
        <a:srgbClr val="53565A"/>
      </a:lt1>
      <a:dk2>
        <a:srgbClr val="E4E0DE"/>
      </a:dk2>
      <a:lt2>
        <a:srgbClr val="BEAB85"/>
      </a:lt2>
      <a:accent1>
        <a:srgbClr val="0F2231"/>
      </a:accent1>
      <a:accent2>
        <a:srgbClr val="E56A54"/>
      </a:accent2>
      <a:accent3>
        <a:srgbClr val="A5A5A5"/>
      </a:accent3>
      <a:accent4>
        <a:srgbClr val="E4E0DE"/>
      </a:accent4>
      <a:accent5>
        <a:srgbClr val="53565A"/>
      </a:accent5>
      <a:accent6>
        <a:srgbClr val="BEAB85"/>
      </a:accent6>
      <a:hlink>
        <a:srgbClr val="E56A54"/>
      </a:hlink>
      <a:folHlink>
        <a:srgbClr val="0F223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 vert="horz" lIns="91440" tIns="45720" rIns="91440" bIns="45720" rtlCol="0" anchor="t">
        <a:noAutofit/>
      </a:bodyPr>
      <a:lstStyle>
        <a:defPPr>
          <a:defRPr sz="6600" b="0" i="0" cap="none" dirty="0" smtClean="0">
            <a:solidFill>
              <a:schemeClr val="bg1"/>
            </a:solidFill>
            <a:latin typeface="Titillium WebThin"/>
            <a:cs typeface="Titillium WebLight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Tema PPT Vicctus" id="{4E404927-D0CE-43B4-9FD7-E332EAD4AF4B}" vid="{90241A02-AC36-46BF-A8C8-EF07463AB760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FAC1-CD28-6B4D-B26F-945FB51B199F}">
  <dimension ref="B1:M34"/>
  <sheetViews>
    <sheetView showGridLines="0" tabSelected="1" zoomScale="99" workbookViewId="0">
      <selection activeCell="E7" sqref="E7"/>
    </sheetView>
  </sheetViews>
  <sheetFormatPr baseColWidth="10" defaultRowHeight="16" x14ac:dyDescent="0.2"/>
  <cols>
    <col min="1" max="1" width="10.83203125" style="2"/>
    <col min="2" max="3" width="14.5" style="2" customWidth="1"/>
    <col min="4" max="4" width="10.83203125" style="2"/>
    <col min="5" max="5" width="14.6640625" style="2" customWidth="1"/>
    <col min="6" max="7" width="10.83203125" style="2"/>
    <col min="8" max="8" width="35.5" style="2" bestFit="1" customWidth="1"/>
    <col min="9" max="9" width="54.5" style="2" customWidth="1"/>
    <col min="10" max="10" width="13.83203125" style="2" bestFit="1" customWidth="1"/>
    <col min="11" max="11" width="10.1640625" style="2" customWidth="1"/>
    <col min="12" max="16384" width="10.83203125" style="2"/>
  </cols>
  <sheetData>
    <row r="1" spans="2:13" ht="17" thickBot="1" x14ac:dyDescent="0.25"/>
    <row r="2" spans="2:13" ht="17" x14ac:dyDescent="0.2">
      <c r="B2" s="65" t="s">
        <v>7</v>
      </c>
      <c r="C2" s="1">
        <v>5000000</v>
      </c>
      <c r="E2" s="66" t="s">
        <v>6</v>
      </c>
      <c r="F2" s="1">
        <v>900</v>
      </c>
      <c r="H2" s="26" t="s">
        <v>8</v>
      </c>
      <c r="I2" s="15"/>
      <c r="J2" s="23"/>
      <c r="K2" s="16"/>
      <c r="L2" s="15"/>
      <c r="M2" s="16"/>
    </row>
    <row r="3" spans="2:13" x14ac:dyDescent="0.2">
      <c r="G3" s="25"/>
      <c r="H3" s="17"/>
      <c r="I3" s="17" t="s">
        <v>62</v>
      </c>
      <c r="J3" s="3" t="s">
        <v>37</v>
      </c>
      <c r="K3" s="18" t="s">
        <v>38</v>
      </c>
      <c r="L3" s="17" t="s">
        <v>36</v>
      </c>
      <c r="M3" s="18" t="s">
        <v>38</v>
      </c>
    </row>
    <row r="4" spans="2:13" x14ac:dyDescent="0.2">
      <c r="B4" s="62" t="s">
        <v>0</v>
      </c>
      <c r="C4" s="62"/>
      <c r="D4" s="63" t="s">
        <v>1</v>
      </c>
      <c r="E4" s="63" t="s">
        <v>2</v>
      </c>
      <c r="F4" s="63" t="s">
        <v>3</v>
      </c>
      <c r="G4" s="64"/>
      <c r="H4" s="19" t="s">
        <v>17</v>
      </c>
      <c r="I4" s="19"/>
      <c r="J4" s="10">
        <f>J5</f>
        <v>0</v>
      </c>
      <c r="K4" s="28">
        <f>K5</f>
        <v>0</v>
      </c>
      <c r="L4" s="38">
        <f>L5</f>
        <v>0</v>
      </c>
      <c r="M4" s="28">
        <f>SUM(M5)</f>
        <v>0</v>
      </c>
    </row>
    <row r="5" spans="2:13" x14ac:dyDescent="0.2">
      <c r="B5" s="5" t="s">
        <v>4</v>
      </c>
      <c r="C5" s="5"/>
      <c r="D5" s="5"/>
      <c r="E5" s="5"/>
      <c r="F5" s="5"/>
      <c r="H5" s="20" t="s">
        <v>9</v>
      </c>
      <c r="I5" s="20"/>
      <c r="J5" s="4"/>
      <c r="K5" s="29"/>
      <c r="L5" s="20"/>
      <c r="M5" s="29"/>
    </row>
    <row r="6" spans="2:13" x14ac:dyDescent="0.2">
      <c r="B6" s="5" t="s">
        <v>5</v>
      </c>
      <c r="C6" s="5"/>
      <c r="D6" s="5"/>
      <c r="E6" s="5"/>
      <c r="F6" s="5"/>
      <c r="H6" s="19" t="s">
        <v>10</v>
      </c>
      <c r="I6" s="19"/>
      <c r="J6" s="10">
        <f>SUM(J7:J9)</f>
        <v>0</v>
      </c>
      <c r="K6" s="28">
        <f>SUM(K7:K9)</f>
        <v>0</v>
      </c>
      <c r="L6" s="38">
        <f>SUM(L7:L9)</f>
        <v>0</v>
      </c>
      <c r="M6" s="28">
        <f>SUM(M7:M9)</f>
        <v>0</v>
      </c>
    </row>
    <row r="7" spans="2:13" x14ac:dyDescent="0.2">
      <c r="B7" s="61" t="s">
        <v>61</v>
      </c>
      <c r="C7" s="4"/>
      <c r="D7" s="4"/>
      <c r="E7" s="4"/>
      <c r="F7" s="4"/>
      <c r="H7" s="20" t="s">
        <v>11</v>
      </c>
      <c r="I7" s="20"/>
      <c r="J7" s="4"/>
      <c r="K7" s="29"/>
      <c r="L7" s="20"/>
      <c r="M7" s="29"/>
    </row>
    <row r="8" spans="2:13" x14ac:dyDescent="0.2">
      <c r="H8" s="20" t="s">
        <v>12</v>
      </c>
      <c r="I8" s="20"/>
      <c r="J8" s="4"/>
      <c r="K8" s="29"/>
      <c r="L8" s="20"/>
      <c r="M8" s="29"/>
    </row>
    <row r="9" spans="2:13" x14ac:dyDescent="0.2">
      <c r="H9" s="20" t="s">
        <v>13</v>
      </c>
      <c r="I9" s="20"/>
      <c r="J9" s="4"/>
      <c r="K9" s="29"/>
      <c r="L9" s="20"/>
      <c r="M9" s="29"/>
    </row>
    <row r="10" spans="2:13" x14ac:dyDescent="0.2">
      <c r="H10" s="19" t="s">
        <v>14</v>
      </c>
      <c r="I10" s="19"/>
      <c r="J10" s="10">
        <f>SUM(J11:J11)</f>
        <v>0</v>
      </c>
      <c r="K10" s="28">
        <f>SUM(K11:K11)</f>
        <v>0</v>
      </c>
      <c r="L10" s="38">
        <f>SUM(L11:L11)</f>
        <v>0</v>
      </c>
      <c r="M10" s="28">
        <f>SUM(M11:M11)</f>
        <v>0</v>
      </c>
    </row>
    <row r="11" spans="2:13" x14ac:dyDescent="0.2">
      <c r="H11" s="20" t="s">
        <v>14</v>
      </c>
      <c r="I11" s="67"/>
      <c r="J11" s="4"/>
      <c r="K11" s="29"/>
      <c r="L11" s="20"/>
      <c r="M11" s="29"/>
    </row>
    <row r="12" spans="2:13" x14ac:dyDescent="0.2">
      <c r="H12" s="27" t="s">
        <v>15</v>
      </c>
      <c r="I12" s="21"/>
      <c r="J12" s="33">
        <f>J10+J6+J4</f>
        <v>0</v>
      </c>
      <c r="K12" s="30">
        <f>K10+K6+K4</f>
        <v>0</v>
      </c>
      <c r="L12" s="21"/>
      <c r="M12" s="30"/>
    </row>
    <row r="13" spans="2:13" ht="17" thickBot="1" x14ac:dyDescent="0.25">
      <c r="H13" s="22" t="s">
        <v>34</v>
      </c>
      <c r="I13" s="22"/>
      <c r="J13" s="24"/>
      <c r="K13" s="31"/>
      <c r="L13" s="22"/>
      <c r="M13" s="31"/>
    </row>
    <row r="14" spans="2:13" ht="17" thickBot="1" x14ac:dyDescent="0.25"/>
    <row r="15" spans="2:13" x14ac:dyDescent="0.2">
      <c r="H15" s="12" t="s">
        <v>16</v>
      </c>
      <c r="I15" s="15"/>
      <c r="J15" s="23"/>
      <c r="K15" s="23"/>
      <c r="L15" s="15"/>
      <c r="M15" s="16"/>
    </row>
    <row r="16" spans="2:13" x14ac:dyDescent="0.2">
      <c r="H16" s="6"/>
      <c r="I16" s="17" t="s">
        <v>62</v>
      </c>
      <c r="J16" s="3" t="s">
        <v>39</v>
      </c>
      <c r="K16" s="3" t="s">
        <v>40</v>
      </c>
      <c r="L16" s="17" t="s">
        <v>36</v>
      </c>
      <c r="M16" s="18" t="s">
        <v>40</v>
      </c>
    </row>
    <row r="17" spans="8:13" x14ac:dyDescent="0.2">
      <c r="H17" s="7" t="s">
        <v>18</v>
      </c>
      <c r="I17" s="19"/>
      <c r="J17" s="10">
        <f>J18</f>
        <v>0</v>
      </c>
      <c r="K17" s="34">
        <f>K18</f>
        <v>0</v>
      </c>
      <c r="L17" s="38">
        <f>L18</f>
        <v>0</v>
      </c>
      <c r="M17" s="28">
        <f>SUM(M18)</f>
        <v>0</v>
      </c>
    </row>
    <row r="18" spans="8:13" x14ac:dyDescent="0.2">
      <c r="H18" s="8" t="s">
        <v>19</v>
      </c>
      <c r="I18" s="20"/>
      <c r="J18" s="11"/>
      <c r="K18" s="35"/>
      <c r="L18" s="32"/>
      <c r="M18" s="29"/>
    </row>
    <row r="19" spans="8:13" x14ac:dyDescent="0.2">
      <c r="H19" s="13" t="s">
        <v>25</v>
      </c>
      <c r="I19" s="19"/>
      <c r="J19" s="10">
        <f>SUM(J20:J24)</f>
        <v>0</v>
      </c>
      <c r="K19" s="34">
        <f>SUM(K20:K24)</f>
        <v>0</v>
      </c>
      <c r="L19" s="38">
        <f>SUM(L20:L24)</f>
        <v>0</v>
      </c>
      <c r="M19" s="28">
        <f>SUM(M20:M24)</f>
        <v>0</v>
      </c>
    </row>
    <row r="20" spans="8:13" x14ac:dyDescent="0.2">
      <c r="H20" s="8" t="s">
        <v>20</v>
      </c>
      <c r="I20" s="20"/>
      <c r="J20" s="4"/>
      <c r="K20" s="35"/>
      <c r="L20" s="32"/>
      <c r="M20" s="29"/>
    </row>
    <row r="21" spans="8:13" x14ac:dyDescent="0.2">
      <c r="H21" s="8" t="s">
        <v>22</v>
      </c>
      <c r="I21" s="20"/>
      <c r="J21" s="4"/>
      <c r="K21" s="35"/>
      <c r="L21" s="32"/>
      <c r="M21" s="29"/>
    </row>
    <row r="22" spans="8:13" x14ac:dyDescent="0.2">
      <c r="H22" s="8" t="s">
        <v>21</v>
      </c>
      <c r="I22" s="20"/>
      <c r="J22" s="4"/>
      <c r="K22" s="35"/>
      <c r="L22" s="32"/>
      <c r="M22" s="29"/>
    </row>
    <row r="23" spans="8:13" x14ac:dyDescent="0.2">
      <c r="H23" s="8" t="s">
        <v>23</v>
      </c>
      <c r="I23" s="20"/>
      <c r="J23" s="4"/>
      <c r="K23" s="35"/>
      <c r="L23" s="32"/>
      <c r="M23" s="29"/>
    </row>
    <row r="24" spans="8:13" x14ac:dyDescent="0.2">
      <c r="H24" s="8" t="s">
        <v>24</v>
      </c>
      <c r="I24" s="20"/>
      <c r="J24" s="4"/>
      <c r="K24" s="35"/>
      <c r="L24" s="32"/>
      <c r="M24" s="29"/>
    </row>
    <row r="25" spans="8:13" x14ac:dyDescent="0.2">
      <c r="H25" s="7" t="s">
        <v>26</v>
      </c>
      <c r="I25" s="19"/>
      <c r="J25" s="10">
        <f>SUM(J26:J30)</f>
        <v>0</v>
      </c>
      <c r="K25" s="34">
        <f>SUM(K26:K30)</f>
        <v>0</v>
      </c>
      <c r="L25" s="38">
        <f>SUM(L26:L30)</f>
        <v>0</v>
      </c>
      <c r="M25" s="28">
        <f>SUM(M26:M30)</f>
        <v>0</v>
      </c>
    </row>
    <row r="26" spans="8:13" x14ac:dyDescent="0.2">
      <c r="H26" s="8" t="s">
        <v>27</v>
      </c>
      <c r="I26" s="20"/>
      <c r="J26" s="4"/>
      <c r="K26" s="35"/>
      <c r="L26" s="32"/>
      <c r="M26" s="29"/>
    </row>
    <row r="27" spans="8:13" x14ac:dyDescent="0.2">
      <c r="H27" s="8" t="s">
        <v>28</v>
      </c>
      <c r="I27" s="20"/>
      <c r="J27" s="4"/>
      <c r="K27" s="35"/>
      <c r="L27" s="32"/>
      <c r="M27" s="29"/>
    </row>
    <row r="28" spans="8:13" x14ac:dyDescent="0.2">
      <c r="H28" s="8" t="s">
        <v>29</v>
      </c>
      <c r="I28" s="20"/>
      <c r="J28" s="4"/>
      <c r="K28" s="35"/>
      <c r="L28" s="32"/>
      <c r="M28" s="29"/>
    </row>
    <row r="29" spans="8:13" x14ac:dyDescent="0.2">
      <c r="H29" s="8" t="s">
        <v>30</v>
      </c>
      <c r="I29" s="20"/>
      <c r="J29" s="4"/>
      <c r="K29" s="35"/>
      <c r="L29" s="32"/>
      <c r="M29" s="29"/>
    </row>
    <row r="30" spans="8:13" x14ac:dyDescent="0.2">
      <c r="H30" s="8" t="s">
        <v>31</v>
      </c>
      <c r="I30" s="20"/>
      <c r="J30" s="4"/>
      <c r="K30" s="35"/>
      <c r="L30" s="32"/>
      <c r="M30" s="29"/>
    </row>
    <row r="31" spans="8:13" x14ac:dyDescent="0.2">
      <c r="H31" s="7" t="s">
        <v>32</v>
      </c>
      <c r="I31" s="19"/>
      <c r="J31" s="10">
        <f>J32</f>
        <v>0</v>
      </c>
      <c r="K31" s="34">
        <f>K32</f>
        <v>0</v>
      </c>
      <c r="L31" s="38">
        <f>L32</f>
        <v>0</v>
      </c>
      <c r="M31" s="28">
        <f>M32</f>
        <v>0</v>
      </c>
    </row>
    <row r="32" spans="8:13" x14ac:dyDescent="0.2">
      <c r="H32" s="8" t="s">
        <v>33</v>
      </c>
      <c r="I32" s="20"/>
      <c r="J32" s="4"/>
      <c r="K32" s="35"/>
      <c r="L32" s="32"/>
      <c r="M32" s="29"/>
    </row>
    <row r="33" spans="8:13" x14ac:dyDescent="0.2">
      <c r="H33" s="14" t="s">
        <v>35</v>
      </c>
      <c r="I33" s="21"/>
      <c r="J33" s="39">
        <f>J31+J25+J19+J17</f>
        <v>0</v>
      </c>
      <c r="K33" s="36">
        <f>K31+K25+K19+K17</f>
        <v>0</v>
      </c>
      <c r="L33" s="40">
        <f>L31+L25+L19+L17</f>
        <v>0</v>
      </c>
      <c r="M33" s="30">
        <f>M31+M25+M19+M17</f>
        <v>0</v>
      </c>
    </row>
    <row r="34" spans="8:13" ht="17" thickBot="1" x14ac:dyDescent="0.25">
      <c r="H34" s="9" t="s">
        <v>34</v>
      </c>
      <c r="I34" s="22"/>
      <c r="J34" s="24"/>
      <c r="K34" s="37"/>
      <c r="L34" s="22"/>
      <c r="M34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67659-3877-BB4E-8741-EE356451139D}">
  <dimension ref="B1:L18"/>
  <sheetViews>
    <sheetView showGridLines="0" workbookViewId="0">
      <selection activeCell="F6" sqref="F6"/>
    </sheetView>
  </sheetViews>
  <sheetFormatPr baseColWidth="10" defaultRowHeight="16" x14ac:dyDescent="0.2"/>
  <cols>
    <col min="1" max="1" width="10.83203125" style="41"/>
    <col min="2" max="2" width="23.6640625" style="41" customWidth="1"/>
    <col min="3" max="16384" width="10.83203125" style="41"/>
  </cols>
  <sheetData>
    <row r="1" spans="2:12" ht="17" thickBot="1" x14ac:dyDescent="0.25"/>
    <row r="2" spans="2:12" ht="17" thickBot="1" x14ac:dyDescent="0.25">
      <c r="B2" s="58" t="s">
        <v>48</v>
      </c>
      <c r="C2" s="59"/>
      <c r="D2" s="59"/>
      <c r="E2" s="59"/>
      <c r="F2" s="59"/>
      <c r="G2" s="59"/>
      <c r="H2" s="59"/>
      <c r="I2" s="60"/>
    </row>
    <row r="3" spans="2:12" ht="17" thickBot="1" x14ac:dyDescent="0.25">
      <c r="B3" s="55" t="s">
        <v>60</v>
      </c>
      <c r="C3" s="56" t="s">
        <v>41</v>
      </c>
      <c r="D3" s="56" t="s">
        <v>42</v>
      </c>
      <c r="E3" s="56" t="s">
        <v>43</v>
      </c>
      <c r="F3" s="56" t="s">
        <v>44</v>
      </c>
      <c r="G3" s="56" t="s">
        <v>45</v>
      </c>
      <c r="H3" s="56" t="s">
        <v>46</v>
      </c>
      <c r="I3" s="57" t="s">
        <v>47</v>
      </c>
    </row>
    <row r="4" spans="2:12" ht="17" thickBot="1" x14ac:dyDescent="0.25">
      <c r="B4" s="51" t="s">
        <v>49</v>
      </c>
      <c r="C4" s="47"/>
      <c r="D4" s="47"/>
      <c r="E4" s="47"/>
      <c r="F4" s="47"/>
      <c r="G4" s="47"/>
      <c r="H4" s="47"/>
      <c r="I4" s="48"/>
    </row>
    <row r="5" spans="2:12" x14ac:dyDescent="0.2">
      <c r="B5" s="52" t="s">
        <v>50</v>
      </c>
      <c r="C5" s="43"/>
      <c r="D5" s="43"/>
      <c r="E5" s="43"/>
      <c r="F5" s="43"/>
      <c r="G5" s="43"/>
      <c r="H5" s="43"/>
      <c r="I5" s="44"/>
      <c r="K5" s="43"/>
      <c r="L5" s="43"/>
    </row>
    <row r="6" spans="2:12" x14ac:dyDescent="0.2">
      <c r="B6" s="52" t="s">
        <v>51</v>
      </c>
      <c r="C6" s="43"/>
      <c r="D6" s="43"/>
      <c r="E6" s="43"/>
      <c r="F6" s="43"/>
      <c r="G6" s="43"/>
      <c r="H6" s="43"/>
      <c r="I6" s="44"/>
      <c r="K6" s="43"/>
      <c r="L6" s="43"/>
    </row>
    <row r="7" spans="2:12" x14ac:dyDescent="0.2">
      <c r="B7" s="52" t="s">
        <v>29</v>
      </c>
      <c r="C7" s="43"/>
      <c r="D7" s="43"/>
      <c r="E7" s="43"/>
      <c r="F7" s="43"/>
      <c r="G7" s="43"/>
      <c r="H7" s="43"/>
      <c r="I7" s="44"/>
      <c r="K7" s="43"/>
      <c r="L7" s="43"/>
    </row>
    <row r="8" spans="2:12" x14ac:dyDescent="0.2">
      <c r="B8" s="52" t="s">
        <v>52</v>
      </c>
      <c r="C8" s="43"/>
      <c r="D8" s="43"/>
      <c r="E8" s="43"/>
      <c r="F8" s="43"/>
      <c r="G8" s="43"/>
      <c r="H8" s="43"/>
      <c r="I8" s="44"/>
      <c r="K8" s="43"/>
      <c r="L8" s="43"/>
    </row>
    <row r="9" spans="2:12" x14ac:dyDescent="0.2">
      <c r="B9" s="52" t="s">
        <v>53</v>
      </c>
      <c r="C9" s="43"/>
      <c r="D9" s="43"/>
      <c r="E9" s="43"/>
      <c r="F9" s="43"/>
      <c r="G9" s="43"/>
      <c r="H9" s="43"/>
      <c r="I9" s="44"/>
      <c r="K9" s="43"/>
      <c r="L9" s="43"/>
    </row>
    <row r="10" spans="2:12" ht="17" thickBot="1" x14ac:dyDescent="0.25">
      <c r="B10" s="53" t="s">
        <v>54</v>
      </c>
      <c r="C10" s="45"/>
      <c r="D10" s="45"/>
      <c r="E10" s="45"/>
      <c r="F10" s="45"/>
      <c r="G10" s="45"/>
      <c r="H10" s="45"/>
      <c r="I10" s="46"/>
    </row>
    <row r="11" spans="2:12" ht="17" thickBot="1" x14ac:dyDescent="0.25">
      <c r="B11" s="51" t="s">
        <v>55</v>
      </c>
      <c r="C11" s="47"/>
      <c r="D11" s="47"/>
      <c r="E11" s="47"/>
      <c r="F11" s="47"/>
      <c r="G11" s="47"/>
      <c r="H11" s="47"/>
      <c r="I11" s="48"/>
    </row>
    <row r="12" spans="2:12" x14ac:dyDescent="0.2">
      <c r="B12" s="54" t="s">
        <v>56</v>
      </c>
      <c r="C12" s="49"/>
      <c r="D12" s="49"/>
      <c r="E12" s="49"/>
      <c r="F12" s="49"/>
      <c r="G12" s="49"/>
      <c r="H12" s="49"/>
      <c r="I12" s="50"/>
    </row>
    <row r="13" spans="2:12" x14ac:dyDescent="0.2">
      <c r="B13" s="52" t="s">
        <v>57</v>
      </c>
      <c r="C13" s="43"/>
      <c r="D13" s="43"/>
      <c r="E13" s="43"/>
      <c r="F13" s="43"/>
      <c r="G13" s="43"/>
      <c r="H13" s="43"/>
      <c r="I13" s="44"/>
    </row>
    <row r="14" spans="2:12" x14ac:dyDescent="0.2">
      <c r="B14" s="52" t="s">
        <v>58</v>
      </c>
      <c r="C14" s="43"/>
      <c r="D14" s="43"/>
      <c r="E14" s="43"/>
      <c r="F14" s="43"/>
      <c r="G14" s="43"/>
      <c r="H14" s="43"/>
      <c r="I14" s="44"/>
    </row>
    <row r="15" spans="2:12" x14ac:dyDescent="0.2">
      <c r="B15" s="52" t="s">
        <v>59</v>
      </c>
      <c r="C15" s="43"/>
      <c r="D15" s="43"/>
      <c r="E15" s="43"/>
      <c r="F15" s="43"/>
      <c r="G15" s="43"/>
      <c r="H15" s="43"/>
      <c r="I15" s="44"/>
    </row>
    <row r="16" spans="2:12" ht="17" thickBot="1" x14ac:dyDescent="0.25">
      <c r="B16" s="53" t="s">
        <v>33</v>
      </c>
      <c r="C16" s="45"/>
      <c r="D16" s="45"/>
      <c r="E16" s="45"/>
      <c r="F16" s="45"/>
      <c r="G16" s="45"/>
      <c r="H16" s="45"/>
      <c r="I16" s="46"/>
    </row>
    <row r="17" spans="2:9" ht="17" thickBot="1" x14ac:dyDescent="0.25">
      <c r="B17" s="51" t="s">
        <v>9</v>
      </c>
      <c r="C17" s="47"/>
      <c r="D17" s="47"/>
      <c r="E17" s="47"/>
      <c r="F17" s="47"/>
      <c r="G17" s="47"/>
      <c r="H17" s="47"/>
      <c r="I17" s="48"/>
    </row>
    <row r="18" spans="2:9" x14ac:dyDescent="0.2">
      <c r="B18" s="42"/>
    </row>
  </sheetData>
  <mergeCells count="1"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tabla posicionamiento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Gatica Pichuante</dc:creator>
  <cp:lastModifiedBy>Alvaro Gatica Pichuante</cp:lastModifiedBy>
  <dcterms:created xsi:type="dcterms:W3CDTF">2026-06-15T02:37:24Z</dcterms:created>
  <dcterms:modified xsi:type="dcterms:W3CDTF">2026-06-15T11:23:08Z</dcterms:modified>
</cp:coreProperties>
</file>